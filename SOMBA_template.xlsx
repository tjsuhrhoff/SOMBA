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s2264/Documents/publications/1_in_progress/2_submitted/2024_Suhrhoff_JLM/soil_analysis/method_paper/SOMBA_user_example/final publication/"/>
    </mc:Choice>
  </mc:AlternateContent>
  <xr:revisionPtr revIDLastSave="0" documentId="13_ncr:1_{80FD5115-66D1-8742-94F7-723D0DCBA316}" xr6:coauthVersionLast="47" xr6:coauthVersionMax="47" xr10:uidLastSave="{00000000-0000-0000-0000-000000000000}"/>
  <bookViews>
    <workbookView xWindow="920" yWindow="5900" windowWidth="26040" windowHeight="14940" xr2:uid="{6F829724-E138-2047-8EBF-A1702B6D4883}"/>
  </bookViews>
  <sheets>
    <sheet name="model_verification_data_non_si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1" l="1"/>
  <c r="P10" i="1"/>
  <c r="P9" i="1"/>
  <c r="P8" i="1"/>
  <c r="P7" i="1"/>
  <c r="P6" i="1"/>
  <c r="P5" i="1"/>
  <c r="P4" i="1"/>
  <c r="P3" i="1"/>
  <c r="P2" i="1"/>
  <c r="N2" i="1" l="1"/>
  <c r="O11" i="1"/>
  <c r="O10" i="1"/>
  <c r="O9" i="1"/>
  <c r="O8" i="1"/>
  <c r="O7" i="1"/>
  <c r="O6" i="1"/>
  <c r="O5" i="1"/>
  <c r="O4" i="1"/>
  <c r="O3" i="1"/>
  <c r="O2" i="1"/>
  <c r="N11" i="1"/>
  <c r="R11" i="1" s="1"/>
  <c r="N10" i="1"/>
  <c r="Q10" i="1" s="1"/>
  <c r="N9" i="1"/>
  <c r="N8" i="1"/>
  <c r="N7" i="1"/>
  <c r="N6" i="1"/>
  <c r="N5" i="1"/>
  <c r="N4" i="1"/>
  <c r="N3" i="1"/>
  <c r="T6" i="1" l="1"/>
  <c r="T2" i="1"/>
  <c r="T4" i="1"/>
  <c r="R5" i="1"/>
  <c r="T11" i="1"/>
  <c r="S4" i="1"/>
  <c r="R4" i="1"/>
  <c r="T10" i="1"/>
  <c r="S11" i="1"/>
  <c r="R3" i="1"/>
  <c r="R7" i="1"/>
  <c r="R8" i="1"/>
  <c r="R6" i="1"/>
  <c r="S3" i="1"/>
  <c r="S5" i="1"/>
  <c r="R9" i="1"/>
  <c r="T8" i="1"/>
  <c r="R2" i="1"/>
  <c r="S6" i="1"/>
  <c r="R10" i="1"/>
  <c r="S2" i="1"/>
  <c r="S8" i="1"/>
  <c r="T3" i="1"/>
  <c r="T5" i="1"/>
  <c r="S7" i="1"/>
  <c r="T7" i="1"/>
  <c r="S9" i="1"/>
  <c r="T9" i="1"/>
  <c r="S10" i="1"/>
  <c r="Q3" i="1"/>
  <c r="Q11" i="1"/>
  <c r="Q5" i="1"/>
  <c r="Q8" i="1"/>
  <c r="Q4" i="1"/>
  <c r="Q6" i="1"/>
  <c r="Q7" i="1"/>
  <c r="Q2" i="1"/>
  <c r="Q9" i="1"/>
</calcChain>
</file>

<file path=xl/sharedStrings.xml><?xml version="1.0" encoding="utf-8"?>
<sst xmlns="http://schemas.openxmlformats.org/spreadsheetml/2006/main" count="20" uniqueCount="20">
  <si>
    <t>site</t>
  </si>
  <si>
    <t>[j]_s [mol/kg]</t>
  </si>
  <si>
    <t>[i]_s [mol/kg]</t>
  </si>
  <si>
    <t>[j]_f [mol/kg]</t>
  </si>
  <si>
    <t>[i]_f [mol/kg]</t>
  </si>
  <si>
    <t>[j]_wf [mol/kg]</t>
  </si>
  <si>
    <t>[i]_wf [mol/kg]</t>
  </si>
  <si>
    <t>ρ_s [t/m3]</t>
  </si>
  <si>
    <t>ρ_f [t/m3]</t>
  </si>
  <si>
    <t>ρ_wf [t/m3]</t>
  </si>
  <si>
    <t>v_sampled_layer [m3/ha]</t>
  </si>
  <si>
    <t>[j]_mix,t=n [mol/kg]</t>
  </si>
  <si>
    <t>[i]_mix,t=n [mol/kg]</t>
  </si>
  <si>
    <t>τ_j []</t>
  </si>
  <si>
    <t>X_s []</t>
  </si>
  <si>
    <t>X_f []</t>
  </si>
  <si>
    <t>X_wf []</t>
  </si>
  <si>
    <t>a [t/ha]</t>
  </si>
  <si>
    <t>[j]_(mix,t=0)</t>
  </si>
  <si>
    <t>[i]_(mix,t=0)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</si>
</sst>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06C41-500D-8848-B503-E9B9E7E47384}">
  <dimension ref="A1:T11"/>
  <sheetViews>
    <sheetView tabSelected="1" workbookViewId="0">
      <selection activeCell="K14" sqref="K14"/>
    </sheetView>
  </sheetViews>
  <sheetFormatPr baseColWidth="10" defaultRowHeight="16" x14ac:dyDescent="0.2"/>
  <cols>
    <col min="8" max="8" width="12.1640625" bestFit="1" customWidth="1"/>
    <col min="9" max="9" width="11.33203125" customWidth="1"/>
    <col min="11" max="11" width="20" bestFit="1" customWidth="1"/>
    <col min="12" max="13" width="16.5" bestFit="1" customWidth="1"/>
    <col min="14" max="15" width="11" customWidth="1"/>
    <col min="16" max="16" width="11.5" customWidth="1"/>
    <col min="17" max="17" width="11" customWidth="1"/>
    <col min="18" max="18" width="12.6640625" customWidth="1"/>
    <col min="19" max="19" width="1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5</v>
      </c>
      <c r="E1" t="s">
        <v>2</v>
      </c>
      <c r="F1" t="s">
        <v>4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15</v>
      </c>
      <c r="O1" t="s">
        <v>16</v>
      </c>
      <c r="P1" t="s">
        <v>14</v>
      </c>
      <c r="Q1" t="s">
        <v>13</v>
      </c>
      <c r="R1" t="s">
        <v>17</v>
      </c>
      <c r="S1" t="s">
        <v>18</v>
      </c>
      <c r="T1" t="s">
        <v>19</v>
      </c>
    </row>
    <row r="2" spans="1:20" x14ac:dyDescent="0.2">
      <c r="A2">
        <v>1</v>
      </c>
      <c r="B2" s="1">
        <v>0.48618346907481702</v>
      </c>
      <c r="C2" s="1">
        <v>3.7669152429692501</v>
      </c>
      <c r="D2" s="1">
        <v>0.57073864572700606</v>
      </c>
      <c r="E2" s="1">
        <v>5.0207906927160199E-2</v>
      </c>
      <c r="F2" s="1">
        <v>0.23907997271063</v>
      </c>
      <c r="G2" s="1">
        <v>0.35004113449007601</v>
      </c>
      <c r="H2" s="1">
        <v>1.4680688753126201</v>
      </c>
      <c r="I2" s="1">
        <v>1.8411238054741099</v>
      </c>
      <c r="J2" s="1">
        <v>1.54446021838951</v>
      </c>
      <c r="K2">
        <v>1000</v>
      </c>
      <c r="L2" s="1">
        <v>0.59420242860297101</v>
      </c>
      <c r="M2" s="1">
        <v>6.0531622379625602E-2</v>
      </c>
      <c r="N2" s="1">
        <f>(-(J2*(M2-G2)-(J2*(L2-D2)*H2*(M2-E2))/(H2*(L2-B2)))/(I2*(M2-F2)-(I2*(L2-C2)*H2*(M2-E2))/(H2*(L2-B2))))/((-(J2*(M2-G2)-(J2*(L2-D2)*H2*(M2-E2))/(H2*(L2-B2)))/(I2*(M2-F2)-(I2*(L2-C2)*H2*(M2-E2))/(H2*(L2-B2))))+((-I2*(L2-C2)*(-(J2*(M2-G2)-(J2*(L2-D2)*H2*(M2-E2))/(H2*(L2-B2)))/(I2*(M2-F2)-(I2*(L2-C2)*H2*(M2-E2))/(H2*(L2-B2))))-J2*(L2-D2))/(H2*(L2-B2)))+1)</f>
        <v>2.6158441953871743E-2</v>
      </c>
      <c r="O2" s="1">
        <f>1/((-(J2*(M2-G2)-(J2*(L2-D2)*H2*(M2-E2))/(H2*(L2-B2)))/(I2*(M2-F2)-(I2*(L2-C2)*H2*(M2-E2))/(H2*(L2-B2))))+((-I2*(L2-C2)*(-(J2*(M2-G2)-(J2*(L2-D2)*H2*(M2-E2))/(H2*(L2-B2)))/(I2*(M2-F2)-(I2*(L2-C2)*H2*(M2-E2))/(H2*(L2-B2))))-J2*(L2-D2))/(H2*(L2-B2)))+1)</f>
        <v>1.332581421963769E-2</v>
      </c>
      <c r="P2" s="1">
        <f>1-N2-O2</f>
        <v>0.96051574382649052</v>
      </c>
      <c r="Q2" s="1">
        <f t="shared" ref="Q2:Q11" si="0">O2/(O2+N2)</f>
        <v>0.33749690410979999</v>
      </c>
      <c r="R2" s="1">
        <f>(N2+O2)*K2*I2</f>
        <v>72.695403982486297</v>
      </c>
      <c r="S2" s="1">
        <f>(H2*P2*B2 + I2*(N2+O2)*C2) / (H2*P2 + I2*(N2+O2))</f>
        <v>0.64702399733160687</v>
      </c>
      <c r="T2" s="1">
        <f>(H2*P2*E2 + I2*(N2+O2)*F2) / (H2*P2 + I2*(N2+O2))</f>
        <v>5.9467512688073577E-2</v>
      </c>
    </row>
    <row r="3" spans="1:20" x14ac:dyDescent="0.2">
      <c r="A3">
        <v>2</v>
      </c>
      <c r="B3" s="1">
        <v>0.50891246731247897</v>
      </c>
      <c r="C3" s="1">
        <v>3.93807928790017</v>
      </c>
      <c r="D3" s="1">
        <v>0.52540156557461404</v>
      </c>
      <c r="E3" s="1">
        <v>4.6254607836893599E-2</v>
      </c>
      <c r="F3" s="1">
        <v>0.25172870864965402</v>
      </c>
      <c r="G3" s="1">
        <v>0.40949399855847601</v>
      </c>
      <c r="H3" s="1">
        <v>1.3766129763824799</v>
      </c>
      <c r="I3" s="1">
        <v>1.98642443876568</v>
      </c>
      <c r="J3" s="1">
        <v>1.6123150778885</v>
      </c>
      <c r="K3">
        <v>1000</v>
      </c>
      <c r="L3" s="1">
        <v>0.87857774384259202</v>
      </c>
      <c r="M3" s="1">
        <v>8.3142591035309701E-2</v>
      </c>
      <c r="N3" s="1">
        <f>(-(J3*(M3-G3)-(J3*(L3-D3)*H3*(M3-E3))/(H3*(L3-B3)))/(I3*(M3-F3)-(I3*(L3-C3)*H3*(M3-E3))/(H3*(L3-B3))))/((-(J3*(M3-G3)-(J3*(L3-D3)*H3*(M3-E3))/(H3*(L3-B3)))/(I3*(M3-F3)-(I3*(L3-C3)*H3*(M3-E3))/(H3*(L3-B3))))+((-I3*(L3-C3)*(-(J3*(M3-G3)-(J3*(L3-D3)*H3*(M3-E3))/(H3*(L3-B3)))/(I3*(M3-F3)-(I3*(L3-C3)*H3*(M3-E3))/(H3*(L3-B3))))-J3*(L3-D3))/(H3*(L3-B3)))+1)</f>
        <v>7.7595950319576085E-2</v>
      </c>
      <c r="O3" s="1">
        <f>1/((-(J3*(M3-G3)-(J3*(L3-D3)*H3*(M3-E3))/(H3*(L3-B3)))/(I3*(M3-F3)-(I3*(L3-C3)*H3*(M3-E3))/(H3*(L3-B3))))+((-I3*(L3-C3)*(-(J3*(M3-G3)-(J3*(L3-D3)*H3*(M3-E3))/(H3*(L3-B3)))/(I3*(M3-F3)-(I3*(L3-C3)*H3*(M3-E3))/(H3*(L3-B3))))-J3*(L3-D3))/(H3*(L3-B3)))+1)</f>
        <v>3.614538797250981E-2</v>
      </c>
      <c r="P3" s="1">
        <f t="shared" ref="P3:P11" si="1">1-N3-O3</f>
        <v>0.88625866170791412</v>
      </c>
      <c r="Q3" s="1">
        <f t="shared" si="0"/>
        <v>0.31778585090751305</v>
      </c>
      <c r="R3" s="1">
        <f>(N3+O3)*K3*I3</f>
        <v>225.93857408131407</v>
      </c>
      <c r="S3" s="1">
        <f>(H3*P3*B3 + I3*(N3+O3)*C3) / (H3*P3 + I3*(N3+O3))</f>
        <v>1.0447320578717147</v>
      </c>
      <c r="T3" s="1">
        <f>(H3*P3*E3 + I3*(N3+O3)*F3) / (H3*P3 + I3*(N3+O3))</f>
        <v>7.8360671591806527E-2</v>
      </c>
    </row>
    <row r="4" spans="1:20" x14ac:dyDescent="0.2">
      <c r="A4">
        <v>3</v>
      </c>
      <c r="B4" s="1">
        <v>0.49458522599883797</v>
      </c>
      <c r="C4" s="1">
        <v>4.2239390188405102</v>
      </c>
      <c r="D4" s="1">
        <v>0.55192640213873601</v>
      </c>
      <c r="E4" s="1">
        <v>5.1076944475075797E-2</v>
      </c>
      <c r="F4" s="1">
        <v>0.251267174813122</v>
      </c>
      <c r="G4" s="1">
        <v>0.34085863837148</v>
      </c>
      <c r="H4" s="1">
        <v>1.4708593947149899</v>
      </c>
      <c r="I4" s="1">
        <v>1.6963144000045201</v>
      </c>
      <c r="J4" s="1">
        <v>1.62557479569442</v>
      </c>
      <c r="K4">
        <v>1000</v>
      </c>
      <c r="L4" s="1">
        <v>0.77353234173302898</v>
      </c>
      <c r="M4" s="1">
        <v>7.1085443659790803E-2</v>
      </c>
      <c r="N4" s="1">
        <f>(-(J4*(M4-G4)-(J4*(L4-D4)*H4*(M4-E4))/(H4*(L4-B4)))/(I4*(M4-F4)-(I4*(L4-C4)*H4*(M4-E4))/(H4*(L4-B4))))/((-(J4*(M4-G4)-(J4*(L4-D4)*H4*(M4-E4))/(H4*(L4-B4)))/(I4*(M4-F4)-(I4*(L4-C4)*H4*(M4-E4))/(H4*(L4-B4))))+((-I4*(L4-C4)*(-(J4*(M4-G4)-(J4*(L4-D4)*H4*(M4-E4))/(H4*(L4-B4)))/(I4*(M4-F4)-(I4*(L4-C4)*H4*(M4-E4))/(H4*(L4-B4))))-J4*(L4-D4))/(H4*(L4-B4)))+1)</f>
        <v>6.5379195803590098E-2</v>
      </c>
      <c r="O4" s="1">
        <f>1/((-(J4*(M4-G4)-(J4*(L4-D4)*H4*(M4-E4))/(H4*(L4-B4)))/(I4*(M4-F4)-(I4*(L4-C4)*H4*(M4-E4))/(H4*(L4-B4))))+((-I4*(L4-C4)*(-(J4*(M4-G4)-(J4*(L4-D4)*H4*(M4-E4))/(H4*(L4-B4)))/(I4*(M4-F4)-(I4*(L4-C4)*H4*(M4-E4))/(H4*(L4-B4))))-J4*(L4-D4))/(H4*(L4-B4)))+1)</f>
        <v>1.6075486213000693E-2</v>
      </c>
      <c r="P4" s="1">
        <f t="shared" si="1"/>
        <v>0.91854531798340922</v>
      </c>
      <c r="Q4" s="1">
        <f t="shared" si="0"/>
        <v>0.1973549686158792</v>
      </c>
      <c r="R4" s="1">
        <f>(N4+O4)*K4*I4</f>
        <v>138.17275005253217</v>
      </c>
      <c r="S4" s="1">
        <f>(H4*P4*B4 + I4*(N4+O4)*C4) / (H4*P4 + I4*(N4+O4))</f>
        <v>0.84060110564725499</v>
      </c>
      <c r="T4" s="1">
        <f>(H4*P4*E4 + I4*(N4+O4)*F4) / (H4*P4 + I4*(N4+O4))</f>
        <v>6.9650939460586966E-2</v>
      </c>
    </row>
    <row r="5" spans="1:20" x14ac:dyDescent="0.2">
      <c r="A5">
        <v>4</v>
      </c>
      <c r="B5" s="1">
        <v>0.52539567174907598</v>
      </c>
      <c r="C5" s="1">
        <v>3.9079031179597399</v>
      </c>
      <c r="D5" s="1">
        <v>0.61207148136993506</v>
      </c>
      <c r="E5" s="1">
        <v>5.2478191314502598E-2</v>
      </c>
      <c r="F5" s="1">
        <v>0.24254286508707101</v>
      </c>
      <c r="G5" s="1">
        <v>0.35166673573234902</v>
      </c>
      <c r="H5" s="1">
        <v>1.4207730031024799</v>
      </c>
      <c r="I5" s="1">
        <v>1.7525933265190199</v>
      </c>
      <c r="J5" s="1">
        <v>1.49530361366891</v>
      </c>
      <c r="K5">
        <v>1000</v>
      </c>
      <c r="L5" s="1">
        <v>0.64399880687737399</v>
      </c>
      <c r="M5" s="1">
        <v>7.1190445750567294E-2</v>
      </c>
      <c r="N5" s="1">
        <f>(-(J5*(M5-G5)-(J5*(L5-D5)*H5*(M5-E5))/(H5*(L5-B5)))/(I5*(M5-F5)-(I5*(L5-C5)*H5*(M5-E5))/(H5*(L5-B5))))/((-(J5*(M5-G5)-(J5*(L5-D5)*H5*(M5-E5))/(H5*(L5-B5)))/(I5*(M5-F5)-(I5*(L5-C5)*H5*(M5-E5))/(H5*(L5-B5))))+((-I5*(L5-C5)*(-(J5*(M5-G5)-(J5*(L5-D5)*H5*(M5-E5))/(H5*(L5-B5)))/(I5*(M5-F5)-(I5*(L5-C5)*H5*(M5-E5))/(H5*(L5-B5))))-J5*(L5-D5))/(H5*(L5-B5)))+1)</f>
        <v>2.7810527036894902E-2</v>
      </c>
      <c r="O5" s="1">
        <f>1/((-(J5*(M5-G5)-(J5*(L5-D5)*H5*(M5-E5))/(H5*(L5-B5)))/(I5*(M5-F5)-(I5*(L5-C5)*H5*(M5-E5))/(H5*(L5-B5))))+((-I5*(L5-C5)*(-(J5*(M5-G5)-(J5*(L5-D5)*H5*(M5-E5))/(H5*(L5-B5)))/(I5*(M5-F5)-(I5*(L5-C5)*H5*(M5-E5))/(H5*(L5-B5))))-J5*(L5-D5))/(H5*(L5-B5)))+1)</f>
        <v>3.9227248258126013E-2</v>
      </c>
      <c r="P5" s="1">
        <f t="shared" si="1"/>
        <v>0.93296222470497914</v>
      </c>
      <c r="Q5" s="1">
        <f t="shared" si="0"/>
        <v>0.58515140285449674</v>
      </c>
      <c r="R5" s="1">
        <f>(N5+O5)*K5*I5</f>
        <v>117.48995760673529</v>
      </c>
      <c r="S5" s="1">
        <f>(H5*P5*B5 + I5*(N5+O5)*C5) / (H5*P5 + I5*(N5+O5))</f>
        <v>0.8007981922520887</v>
      </c>
      <c r="T5" s="1">
        <f>(H5*P5*E5 + I5*(N5+O5)*F5) / (H5*P5 + I5*(N5+O5))</f>
        <v>6.7953187614714208E-2</v>
      </c>
    </row>
    <row r="6" spans="1:20" x14ac:dyDescent="0.2">
      <c r="A6">
        <v>5</v>
      </c>
      <c r="B6" s="1">
        <v>0.49961508488867201</v>
      </c>
      <c r="C6" s="1">
        <v>3.82424379476931</v>
      </c>
      <c r="D6" s="1">
        <v>0.59647310018732402</v>
      </c>
      <c r="E6" s="1">
        <v>4.5365433708613102E-2</v>
      </c>
      <c r="F6" s="1">
        <v>0.23642688032998299</v>
      </c>
      <c r="G6" s="1">
        <v>0.345709220188676</v>
      </c>
      <c r="H6" s="1">
        <v>1.48724778165594</v>
      </c>
      <c r="I6" s="1">
        <v>1.8893182938977799</v>
      </c>
      <c r="J6" s="1">
        <v>1.6234338902821599</v>
      </c>
      <c r="K6">
        <v>1000</v>
      </c>
      <c r="L6" s="1">
        <v>0.71936769421051705</v>
      </c>
      <c r="M6" s="1">
        <v>7.2751493605160006E-2</v>
      </c>
      <c r="N6" s="1">
        <f>(-(J6*(M6-G6)-(J6*(L6-D6)*H6*(M6-E6))/(H6*(L6-B6)))/(I6*(M6-F6)-(I6*(L6-C6)*H6*(M6-E6))/(H6*(L6-B6))))/((-(J6*(M6-G6)-(J6*(L6-D6)*H6*(M6-E6))/(H6*(L6-B6)))/(I6*(M6-F6)-(I6*(L6-C6)*H6*(M6-E6))/(H6*(L6-B6))))+((-I6*(L6-C6)*(-(J6*(M6-G6)-(J6*(L6-D6)*H6*(M6-E6))/(H6*(L6-B6)))/(I6*(M6-F6)-(I6*(L6-C6)*H6*(M6-E6))/(H6*(L6-B6))))-J6*(L6-D6))/(H6*(L6-B6)))+1)</f>
        <v>5.181408920040375E-2</v>
      </c>
      <c r="O6" s="1">
        <f>1/((-(J6*(M6-G6)-(J6*(L6-D6)*H6*(M6-E6))/(H6*(L6-B6)))/(I6*(M6-F6)-(I6*(L6-C6)*H6*(M6-E6))/(H6*(L6-B6))))+((-I6*(L6-C6)*(-(J6*(M6-G6)-(J6*(L6-D6)*H6*(M6-E6))/(H6*(L6-B6)))/(I6*(M6-F6)-(I6*(L6-C6)*H6*(M6-E6))/(H6*(L6-B6))))-J6*(L6-D6))/(H6*(L6-B6)))+1)</f>
        <v>4.670113914525869E-2</v>
      </c>
      <c r="P6" s="1">
        <f t="shared" si="1"/>
        <v>0.9014847716543376</v>
      </c>
      <c r="Q6" s="1">
        <f t="shared" si="0"/>
        <v>0.47404995074870482</v>
      </c>
      <c r="R6" s="1">
        <f>(N6+O6)*K6*I6</f>
        <v>186.12662314097716</v>
      </c>
      <c r="S6" s="1">
        <f>(H6*P6*B6 + I6*(N6+O6)*C6) / (H6*P6 + I6*(N6+O6))</f>
        <v>0.90489309749182845</v>
      </c>
      <c r="T6" s="1">
        <f>(H6*P6*E6 + I6*(N6+O6)*F6) / (H6*P6 + I6*(N6+O6))</f>
        <v>6.8656155809900879E-2</v>
      </c>
    </row>
    <row r="7" spans="1:20" x14ac:dyDescent="0.2">
      <c r="A7">
        <v>6</v>
      </c>
      <c r="B7" s="1">
        <v>0.483918729437257</v>
      </c>
      <c r="C7" s="1">
        <v>3.6047383884421298</v>
      </c>
      <c r="D7" s="1">
        <v>0.57957357420065603</v>
      </c>
      <c r="E7" s="1">
        <v>4.9933367488007301E-2</v>
      </c>
      <c r="F7" s="1">
        <v>0.25673347582453898</v>
      </c>
      <c r="G7" s="1">
        <v>0.37124700690309298</v>
      </c>
      <c r="H7" s="1">
        <v>1.4061143094514801</v>
      </c>
      <c r="I7" s="1">
        <v>1.75981610794014</v>
      </c>
      <c r="J7" s="1">
        <v>1.48224352449616</v>
      </c>
      <c r="K7">
        <v>1000</v>
      </c>
      <c r="L7" s="1">
        <v>0.79665728158674998</v>
      </c>
      <c r="M7" s="1">
        <v>7.7103852911869303E-2</v>
      </c>
      <c r="N7" s="1">
        <f>(-(J7*(M7-G7)-(J7*(L7-D7)*H7*(M7-E7))/(H7*(L7-B7)))/(I7*(M7-F7)-(I7*(L7-C7)*H7*(M7-E7))/(H7*(L7-B7))))/((-(J7*(M7-G7)-(J7*(L7-D7)*H7*(M7-E7))/(H7*(L7-B7)))/(I7*(M7-F7)-(I7*(L7-C7)*H7*(M7-E7))/(H7*(L7-B7))))+((-I7*(L7-C7)*(-(J7*(M7-G7)-(J7*(L7-D7)*H7*(M7-E7))/(H7*(L7-B7)))/(I7*(M7-F7)-(I7*(L7-C7)*H7*(M7-E7))/(H7*(L7-B7))))-J7*(L7-D7))/(H7*(L7-B7)))+1)</f>
        <v>8.1280312619769604E-2</v>
      </c>
      <c r="O7" s="1">
        <f>1/((-(J7*(M7-G7)-(J7*(L7-D7)*H7*(M7-E7))/(H7*(L7-B7)))/(I7*(M7-F7)-(I7*(L7-C7)*H7*(M7-E7))/(H7*(L7-B7))))+((-I7*(L7-C7)*(-(J7*(M7-G7)-(J7*(L7-D7)*H7*(M7-E7))/(H7*(L7-B7)))/(I7*(M7-F7)-(I7*(L7-C7)*H7*(M7-E7))/(H7*(L7-B7))))-J7*(L7-D7))/(H7*(L7-B7)))+1)</f>
        <v>1.9834758923732401E-2</v>
      </c>
      <c r="P7" s="1">
        <f t="shared" si="1"/>
        <v>0.89888492845649792</v>
      </c>
      <c r="Q7" s="1">
        <f t="shared" si="0"/>
        <v>0.19616026197636655</v>
      </c>
      <c r="R7" s="1">
        <f>(N7+O7)*K7*I7</f>
        <v>177.94393165777453</v>
      </c>
      <c r="S7" s="1">
        <f>(H7*P7*B7 + I7*(N7+O7)*C7) / (H7*P7 + I7*(N7+O7))</f>
        <v>0.86906267124589875</v>
      </c>
      <c r="T7" s="1">
        <f>(H7*P7*E7 + I7*(N7+O7)*F7) / (H7*P7 + I7*(N7+O7))</f>
        <v>7.5454806594995941E-2</v>
      </c>
    </row>
    <row r="8" spans="1:20" x14ac:dyDescent="0.2">
      <c r="A8">
        <v>7</v>
      </c>
      <c r="B8" s="1">
        <v>0.47870015822171103</v>
      </c>
      <c r="C8" s="1">
        <v>4.38871465518816</v>
      </c>
      <c r="D8" s="1">
        <v>0.49847258343362399</v>
      </c>
      <c r="E8" s="1">
        <v>4.7030522698803999E-2</v>
      </c>
      <c r="F8" s="1">
        <v>0.26888884033120303</v>
      </c>
      <c r="G8" s="1">
        <v>0.39116172875563099</v>
      </c>
      <c r="H8" s="1">
        <v>1.49513607861867</v>
      </c>
      <c r="I8" s="1">
        <v>1.9135155676983699</v>
      </c>
      <c r="J8" s="1">
        <v>1.5478557956335699</v>
      </c>
      <c r="K8">
        <v>1000</v>
      </c>
      <c r="L8" s="1">
        <v>0.58229403130966895</v>
      </c>
      <c r="M8" s="1">
        <v>6.2409278423128003E-2</v>
      </c>
      <c r="N8" s="1">
        <f>(-(J8*(M8-G8)-(J8*(L8-D8)*H8*(M8-E8))/(H8*(L8-B8)))/(I8*(M8-F8)-(I8*(L8-C8)*H8*(M8-E8))/(H8*(L8-B8))))/((-(J8*(M8-G8)-(J8*(L8-D8)*H8*(M8-E8))/(H8*(L8-B8)))/(I8*(M8-F8)-(I8*(L8-C8)*H8*(M8-E8))/(H8*(L8-B8))))+((-I8*(L8-C8)*(-(J8*(M8-G8)-(J8*(L8-D8)*H8*(M8-E8))/(H8*(L8-B8)))/(I8*(M8-F8)-(I8*(L8-C8)*H8*(M8-E8))/(H8*(L8-B8))))-J8*(L8-D8))/(H8*(L8-B8)))+1)</f>
        <v>2.0731199097584113E-2</v>
      </c>
      <c r="O8" s="1">
        <f>1/((-(J8*(M8-G8)-(J8*(L8-D8)*H8*(M8-E8))/(H8*(L8-B8)))/(I8*(M8-F8)-(I8*(L8-C8)*H8*(M8-E8))/(H8*(L8-B8))))+((-I8*(L8-C8)*(-(J8*(M8-G8)-(J8*(L8-D8)*H8*(M8-E8))/(H8*(L8-B8)))/(I8*(M8-F8)-(I8*(L8-C8)*H8*(M8-E8))/(H8*(L8-B8))))-J8*(L8-D8))/(H8*(L8-B8)))+1)</f>
        <v>2.6935396909005954E-2</v>
      </c>
      <c r="P8" s="1">
        <f t="shared" si="1"/>
        <v>0.95233340399340993</v>
      </c>
      <c r="Q8" s="1">
        <f t="shared" si="0"/>
        <v>0.56507909449380533</v>
      </c>
      <c r="R8" s="1">
        <f>(N8+O8)*K8*I8</f>
        <v>91.210773517799055</v>
      </c>
      <c r="S8" s="1">
        <f>(H8*P8*B8 + I8*(N8+O8)*C8) / (H8*P8 + I8*(N8+O8))</f>
        <v>0.71409084920576615</v>
      </c>
      <c r="T8" s="1">
        <f>(H8*P8*E8 + I8*(N8+O8)*F8) / (H8*P8 + I8*(N8+O8))</f>
        <v>6.038683703691386E-2</v>
      </c>
    </row>
    <row r="9" spans="1:20" x14ac:dyDescent="0.2">
      <c r="A9">
        <v>8</v>
      </c>
      <c r="B9" s="1">
        <v>0.48933604112020701</v>
      </c>
      <c r="C9" s="1">
        <v>3.86775867202685</v>
      </c>
      <c r="D9" s="1">
        <v>0.54331256202881795</v>
      </c>
      <c r="E9" s="1">
        <v>5.0047673321102E-2</v>
      </c>
      <c r="F9" s="1">
        <v>0.25225390433679001</v>
      </c>
      <c r="G9" s="1">
        <v>0.35502009883813301</v>
      </c>
      <c r="H9" s="1">
        <v>1.5589376527113801</v>
      </c>
      <c r="I9" s="1">
        <v>1.88473989501647</v>
      </c>
      <c r="J9" s="1">
        <v>1.6185190890229499</v>
      </c>
      <c r="K9">
        <v>1000</v>
      </c>
      <c r="L9" s="1">
        <v>0.543715904601907</v>
      </c>
      <c r="M9" s="1">
        <v>5.8993050858270203E-2</v>
      </c>
      <c r="N9" s="1">
        <f>(-(J9*(M9-G9)-(J9*(L9-D9)*H9*(M9-E9))/(H9*(L9-B9)))/(I9*(M9-F9)-(I9*(L9-C9)*H9*(M9-E9))/(H9*(L9-B9))))/((-(J9*(M9-G9)-(J9*(L9-D9)*H9*(M9-E9))/(H9*(L9-B9)))/(I9*(M9-F9)-(I9*(L9-C9)*H9*(M9-E9))/(H9*(L9-B9))))+((-I9*(L9-C9)*(-(J9*(M9-G9)-(J9*(L9-D9)*H9*(M9-E9))/(H9*(L9-B9)))/(I9*(M9-F9)-(I9*(L9-C9)*H9*(M9-E9))/(H9*(L9-B9))))-J9*(L9-D9))/(H9*(L9-B9)))+1)</f>
        <v>1.3109451907197842E-2</v>
      </c>
      <c r="O9" s="1">
        <f>1/((-(J9*(M9-G9)-(J9*(L9-D9)*H9*(M9-E9))/(H9*(L9-B9)))/(I9*(M9-F9)-(I9*(L9-C9)*H9*(M9-E9))/(H9*(L9-B9))))+((-I9*(L9-C9)*(-(J9*(M9-G9)-(J9*(L9-D9)*H9*(M9-E9))/(H9*(L9-B9)))/(I9*(M9-F9)-(I9*(L9-C9)*H9*(M9-E9))/(H9*(L9-B9))))-J9*(L9-D9))/(H9*(L9-B9)))+1)</f>
        <v>1.8227405028062412E-2</v>
      </c>
      <c r="P9" s="1">
        <f t="shared" si="1"/>
        <v>0.96866314306473977</v>
      </c>
      <c r="Q9" s="1">
        <f t="shared" si="0"/>
        <v>0.58166028155660121</v>
      </c>
      <c r="R9" s="1">
        <f>(N9+O9)*K9*I9</f>
        <v>59.061824450308549</v>
      </c>
      <c r="S9" s="1">
        <f>(H9*P9*B9 + I9*(N9+O9)*C9) / (H9*P9 + I9*(N9+O9))</f>
        <v>0.61649797680168417</v>
      </c>
      <c r="T9" s="1">
        <f>(H9*P9*E9 + I9*(N9+O9)*F9) / (H9*P9 + I9*(N9+O9))</f>
        <v>5.7658602607326463E-2</v>
      </c>
    </row>
    <row r="10" spans="1:20" x14ac:dyDescent="0.2">
      <c r="A10">
        <v>9</v>
      </c>
      <c r="B10" s="1">
        <v>0.504658580641968</v>
      </c>
      <c r="C10" s="1">
        <v>3.8240843321571898</v>
      </c>
      <c r="D10" s="1">
        <v>0.57574458607115897</v>
      </c>
      <c r="E10" s="1">
        <v>4.9421254902723498E-2</v>
      </c>
      <c r="F10" s="1">
        <v>0.225879289160928</v>
      </c>
      <c r="G10" s="1">
        <v>0.336990822035239</v>
      </c>
      <c r="H10" s="1">
        <v>1.3385227295297</v>
      </c>
      <c r="I10" s="1">
        <v>1.70408895546707</v>
      </c>
      <c r="J10" s="1">
        <v>1.35770514630642</v>
      </c>
      <c r="K10">
        <v>1000</v>
      </c>
      <c r="L10" s="1">
        <v>0.58168222005873504</v>
      </c>
      <c r="M10" s="1">
        <v>6.1062091898683502E-2</v>
      </c>
      <c r="N10" s="1">
        <f>(-(J10*(M10-G10)-(J10*(L10-D10)*H10*(M10-E10))/(H10*(L10-B10)))/(I10*(M10-F10)-(I10*(L10-C10)*H10*(M10-E10))/(H10*(L10-B10))))/((-(J10*(M10-G10)-(J10*(L10-D10)*H10*(M10-E10))/(H10*(L10-B10)))/(I10*(M10-F10)-(I10*(L10-C10)*H10*(M10-E10))/(H10*(L10-B10))))+((-I10*(L10-C10)*(-(J10*(M10-G10)-(J10*(L10-D10)*H10*(M10-E10))/(H10*(L10-B10)))/(I10*(M10-F10)-(I10*(L10-C10)*H10*(M10-E10))/(H10*(L10-B10))))-J10*(L10-D10))/(H10*(L10-B10)))+1)</f>
        <v>1.7872337213226331E-2</v>
      </c>
      <c r="O10" s="1">
        <f>1/((-(J10*(M10-G10)-(J10*(L10-D10)*H10*(M10-E10))/(H10*(L10-B10)))/(I10*(M10-F10)-(I10*(L10-C10)*H10*(M10-E10))/(H10*(L10-B10))))+((-I10*(L10-C10)*(-(J10*(M10-G10)-(J10*(L10-D10)*H10*(M10-E10))/(H10*(L10-B10)))/(I10*(M10-F10)-(I10*(L10-C10)*H10*(M10-E10))/(H10*(L10-B10))))-J10*(L10-D10))/(H10*(L10-B10)))+1)</f>
        <v>2.6353320062274591E-2</v>
      </c>
      <c r="P10" s="1">
        <f t="shared" si="1"/>
        <v>0.95577434272449902</v>
      </c>
      <c r="Q10" s="1">
        <f t="shared" si="0"/>
        <v>0.59588306168313698</v>
      </c>
      <c r="R10" s="1">
        <f>(N10+O10)*K10*I10</f>
        <v>75.364454111452986</v>
      </c>
      <c r="S10" s="1">
        <f>(H10*P10*B10 + I10*(N10+O10)*C10) / (H10*P10 + I10*(N10+O10))</f>
        <v>0.6893256886770972</v>
      </c>
      <c r="T10" s="1">
        <f>(H10*P10*E10 + I10*(N10+O10)*F10) / (H10*P10 + I10*(N10+O10))</f>
        <v>5.9238011569490885E-2</v>
      </c>
    </row>
    <row r="11" spans="1:20" x14ac:dyDescent="0.2">
      <c r="A11">
        <v>10</v>
      </c>
      <c r="B11" s="1">
        <v>0.53719843112493004</v>
      </c>
      <c r="C11" s="1">
        <v>3.9826023506793802</v>
      </c>
      <c r="D11" s="1">
        <v>0.61182359145490095</v>
      </c>
      <c r="E11" s="1">
        <v>5.3020223060988601E-2</v>
      </c>
      <c r="F11" s="1">
        <v>0.229371400969753</v>
      </c>
      <c r="G11" s="1">
        <v>0.35076447662277399</v>
      </c>
      <c r="H11" s="1">
        <v>1.4518256868383701</v>
      </c>
      <c r="I11" s="1">
        <v>1.8845974415377</v>
      </c>
      <c r="J11" s="1">
        <v>1.5875354202290799</v>
      </c>
      <c r="K11">
        <v>1000</v>
      </c>
      <c r="L11" s="1">
        <v>0.56716997836734095</v>
      </c>
      <c r="M11" s="1">
        <v>6.6938954848764595E-2</v>
      </c>
      <c r="N11" s="1">
        <f>(-(J11*(M11-G11)-(J11*(L11-D11)*H11*(M11-E11))/(H11*(L11-B11)))/(I11*(M11-F11)-(I11*(L11-C11)*H11*(M11-E11))/(H11*(L11-B11))))/((-(J11*(M11-G11)-(J11*(L11-D11)*H11*(M11-E11))/(H11*(L11-B11)))/(I11*(M11-F11)-(I11*(L11-C11)*H11*(M11-E11))/(H11*(L11-B11))))+((-I11*(L11-C11)*(-(J11*(M11-G11)-(J11*(L11-D11)*H11*(M11-E11))/(H11*(L11-B11)))/(I11*(M11-F11)-(I11*(L11-C11)*H11*(M11-E11))/(H11*(L11-B11))))-J11*(L11-D11))/(H11*(L11-B11)))+1)</f>
        <v>6.0308416743351965E-3</v>
      </c>
      <c r="O11" s="1">
        <f>1/((-(J11*(M11-G11)-(J11*(L11-D11)*H11*(M11-E11))/(H11*(L11-B11)))/(I11*(M11-F11)-(I11*(L11-C11)*H11*(M11-E11))/(H11*(L11-B11))))+((-I11*(L11-C11)*(-(J11*(M11-G11)-(J11*(L11-D11)*H11*(M11-E11))/(H11*(L11-B11)))/(I11*(M11-F11)-(I11*(L11-C11)*H11*(M11-E11))/(H11*(L11-B11))))-J11*(L11-D11))/(H11*(L11-B11)))+1)</f>
        <v>3.8742366960811077E-2</v>
      </c>
      <c r="P11" s="1">
        <f t="shared" si="1"/>
        <v>0.95522679136485367</v>
      </c>
      <c r="Q11" s="1">
        <f t="shared" si="0"/>
        <v>0.86530244630265174</v>
      </c>
      <c r="R11" s="1">
        <f>(N11+O11)*K11*I11</f>
        <v>84.379474443230322</v>
      </c>
      <c r="S11" s="1">
        <f>(H11*P11*B11 + I11*(N11+O11)*C11) / (H11*P11 + I11*(N11+O11))</f>
        <v>0.73480645451974036</v>
      </c>
      <c r="T11" s="1">
        <f>(H11*P11*E11 + I11*(N11+O11)*F11) / (H11*P11 + I11*(N11+O11))</f>
        <v>6.3134685255715528E-2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model_verification_data_non_sim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Suhrhoff, Tim Jesper</dc:creator>
  <cp:lastModifiedBy>Suhrhoff, Tim Jesper</cp:lastModifiedBy>
  <dcterms:created xsi:type="dcterms:W3CDTF">2025-10-28T22:55:18Z</dcterms:created>
  <dcterms:modified xsi:type="dcterms:W3CDTF">2025-10-31T15:51:30Z</dcterms:modified>
</cp:coreProperties>
</file>