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2264/Documents/publications/1_in_progress/2_submitted/2024_Suhrhoff_JLM/soil_analysis/method_paper/SOMBA_user_example/final publication/"/>
    </mc:Choice>
  </mc:AlternateContent>
  <xr:revisionPtr revIDLastSave="0" documentId="13_ncr:1_{595516BD-D687-8641-B49F-9755A7203478}" xr6:coauthVersionLast="47" xr6:coauthVersionMax="47" xr10:uidLastSave="{00000000-0000-0000-0000-000000000000}"/>
  <bookViews>
    <workbookView xWindow="0" yWindow="760" windowWidth="30240" windowHeight="18880" xr2:uid="{29FD1345-78A7-A04A-B76B-806025C21648}"/>
  </bookViews>
  <sheets>
    <sheet name="examp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Q6" i="1"/>
  <c r="K11" i="1"/>
  <c r="K10" i="1"/>
  <c r="N10" i="1" s="1"/>
  <c r="K9" i="1"/>
  <c r="K8" i="1"/>
  <c r="K7" i="1"/>
  <c r="K6" i="1"/>
  <c r="M6" i="1" s="1"/>
  <c r="P6" i="1" s="1"/>
  <c r="K5" i="1"/>
  <c r="O5" i="1" s="1"/>
  <c r="K4" i="1"/>
  <c r="M4" i="1" s="1"/>
  <c r="P4" i="1" s="1"/>
  <c r="K3" i="1"/>
  <c r="L11" i="1"/>
  <c r="N11" i="1" s="1"/>
  <c r="L10" i="1"/>
  <c r="L9" i="1"/>
  <c r="L8" i="1"/>
  <c r="L7" i="1"/>
  <c r="L6" i="1"/>
  <c r="L5" i="1"/>
  <c r="L4" i="1"/>
  <c r="L3" i="1"/>
  <c r="L2" i="1"/>
  <c r="K2" i="1"/>
  <c r="R11" i="1"/>
  <c r="R10" i="1"/>
  <c r="R9" i="1"/>
  <c r="R8" i="1"/>
  <c r="R7" i="1"/>
  <c r="R6" i="1"/>
  <c r="R5" i="1"/>
  <c r="R4" i="1"/>
  <c r="R3" i="1"/>
  <c r="M3" i="1" l="1"/>
  <c r="Q4" i="1"/>
  <c r="N9" i="1"/>
  <c r="N7" i="1"/>
  <c r="M8" i="1"/>
  <c r="O3" i="1"/>
  <c r="O10" i="1"/>
  <c r="O2" i="1"/>
  <c r="O6" i="1"/>
  <c r="N3" i="1"/>
  <c r="N6" i="1"/>
  <c r="M7" i="1"/>
  <c r="O7" i="1"/>
  <c r="N2" i="1"/>
  <c r="O4" i="1"/>
  <c r="N4" i="1"/>
  <c r="O8" i="1"/>
  <c r="N8" i="1"/>
  <c r="M9" i="1"/>
  <c r="O9" i="1"/>
  <c r="M10" i="1"/>
  <c r="M11" i="1"/>
  <c r="O11" i="1"/>
  <c r="M5" i="1"/>
  <c r="N5" i="1"/>
  <c r="M2" i="1"/>
  <c r="P3" i="1" l="1"/>
  <c r="Q3" i="1"/>
  <c r="P9" i="1"/>
  <c r="Q9" i="1"/>
  <c r="P11" i="1"/>
  <c r="Q11" i="1"/>
  <c r="P7" i="1"/>
  <c r="Q7" i="1"/>
  <c r="P8" i="1"/>
  <c r="Q8" i="1"/>
  <c r="P5" i="1"/>
  <c r="Q5" i="1"/>
  <c r="P2" i="1"/>
  <c r="Q2" i="1"/>
  <c r="P10" i="1"/>
  <c r="Q10" i="1"/>
</calcChain>
</file>

<file path=xl/sharedStrings.xml><?xml version="1.0" encoding="utf-8"?>
<sst xmlns="http://schemas.openxmlformats.org/spreadsheetml/2006/main" count="18" uniqueCount="18">
  <si>
    <t>site</t>
  </si>
  <si>
    <t>[j]_s [mol/kg]</t>
  </si>
  <si>
    <t>[j]_f [mol/kg]</t>
  </si>
  <si>
    <t>[i]_s [mol/kg]</t>
  </si>
  <si>
    <t>[j]_mix,t=n [mol/kg]</t>
  </si>
  <si>
    <t>[i]_mix,t=n [mol/kg]</t>
  </si>
  <si>
    <t>ρ_s [t/m3]</t>
  </si>
  <si>
    <t>ρ_f [t/m3]</t>
  </si>
  <si>
    <t>v_sampled_layer [m3/ha]</t>
  </si>
  <si>
    <t>[i]_f [mol/kg]</t>
  </si>
  <si>
    <t>X_f []</t>
  </si>
  <si>
    <t>X_wf []</t>
  </si>
  <si>
    <t>X_s []</t>
  </si>
  <si>
    <t>[i]_wf [mol/kg]</t>
  </si>
  <si>
    <t>[i]_mix,t=0 [mol/kg]</t>
  </si>
  <si>
    <t>[j]_mix,t=0 [mol/kg]</t>
  </si>
  <si>
    <t>a [t/ha]</t>
  </si>
  <si>
    <t>τ_j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</si>
</sst>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AAF9-0CFD-BC49-88B6-1D5275BD17D6}">
  <dimension ref="A1:S11"/>
  <sheetViews>
    <sheetView tabSelected="1" workbookViewId="0">
      <selection activeCell="L22" sqref="L22"/>
    </sheetView>
  </sheetViews>
  <sheetFormatPr baseColWidth="10" defaultRowHeight="16" x14ac:dyDescent="0.2"/>
  <cols>
    <col min="2" max="2" width="12.1640625" bestFit="1" customWidth="1"/>
    <col min="3" max="3" width="15.83203125" bestFit="1" customWidth="1"/>
    <col min="4" max="4" width="12.1640625" bestFit="1" customWidth="1"/>
    <col min="5" max="5" width="15.83203125" bestFit="1" customWidth="1"/>
    <col min="6" max="7" width="25.33203125" bestFit="1" customWidth="1"/>
    <col min="8" max="8" width="12.1640625" bestFit="1" customWidth="1"/>
    <col min="9" max="9" width="16.6640625" bestFit="1" customWidth="1"/>
    <col min="10" max="10" width="21.1640625" bestFit="1" customWidth="1"/>
    <col min="11" max="11" width="15.1640625" customWidth="1"/>
    <col min="12" max="13" width="17.33203125" customWidth="1"/>
    <col min="14" max="14" width="11.1640625" customWidth="1"/>
    <col min="15" max="15" width="13.33203125" customWidth="1"/>
    <col min="16" max="17" width="23" customWidth="1"/>
    <col min="18" max="18" width="17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17</v>
      </c>
      <c r="O1" t="s">
        <v>16</v>
      </c>
      <c r="P1" t="s">
        <v>15</v>
      </c>
      <c r="Q1" t="s">
        <v>14</v>
      </c>
      <c r="R1" t="s">
        <v>13</v>
      </c>
    </row>
    <row r="2" spans="1:19" x14ac:dyDescent="0.2">
      <c r="A2">
        <v>1</v>
      </c>
      <c r="B2" s="1">
        <v>0.52691933563511795</v>
      </c>
      <c r="C2" s="1">
        <v>4.2106545325074096</v>
      </c>
      <c r="D2" s="1">
        <v>5.2523368944178403E-2</v>
      </c>
      <c r="E2" s="1">
        <v>0.23824493930822599</v>
      </c>
      <c r="F2" s="1">
        <v>0.643874189261466</v>
      </c>
      <c r="G2" s="1">
        <v>6.8724901949025904E-2</v>
      </c>
      <c r="H2" s="1">
        <v>1.3827562484617699</v>
      </c>
      <c r="I2" s="1">
        <v>1.83164648189201</v>
      </c>
      <c r="J2" s="1">
        <v>1000</v>
      </c>
      <c r="K2" s="1">
        <f>(H2*(F2-B2))/(H2*(F2-B2)-I2*(F2-C2))</f>
        <v>2.4156066977118543E-2</v>
      </c>
      <c r="L2" s="1">
        <f>(H2*I2*((F2-B2)*(G2-E2)-(F2-C2)*(G2-D2)))/(I2*E2*(H2*(F2-B2)-I2*(F2-C2)))</f>
        <v>3.2909651920035192E-2</v>
      </c>
      <c r="M2" s="1">
        <f>1-K2-L2</f>
        <v>0.94293428110284627</v>
      </c>
      <c r="N2" s="1">
        <f>L2/(L2+K2)</f>
        <v>0.57669740355582599</v>
      </c>
      <c r="O2" s="1">
        <f>(K2+L2)*J2*I2</f>
        <v>104.52422325461004</v>
      </c>
      <c r="P2" s="1">
        <f>(H2*M2*B2+I2*(K2+L2)*C2)/(H2*M2+I2*(K2+L2))</f>
        <v>0.80031260497499812</v>
      </c>
      <c r="Q2" s="1">
        <f>(H2*M2*D2+I2*(K2+L2)*E2)/(H2*M2+I2*(K2+L2))</f>
        <v>6.6306940399551886E-2</v>
      </c>
      <c r="R2" s="1">
        <f>D2+E2*I2/H2</f>
        <v>0.36811080917302114</v>
      </c>
      <c r="S2" s="1"/>
    </row>
    <row r="3" spans="1:19" x14ac:dyDescent="0.2">
      <c r="A3">
        <v>2</v>
      </c>
      <c r="B3" s="1">
        <v>0.47268965405901298</v>
      </c>
      <c r="C3" s="1">
        <v>4.3294341352648198</v>
      </c>
      <c r="D3" s="1">
        <v>5.2685161600259503E-2</v>
      </c>
      <c r="E3" s="1">
        <v>0.25510590754122398</v>
      </c>
      <c r="F3" s="1">
        <v>0.69671526814162099</v>
      </c>
      <c r="G3" s="1">
        <v>7.0986292961542602E-2</v>
      </c>
      <c r="H3" s="1">
        <v>1.2831813078079599</v>
      </c>
      <c r="I3" s="1">
        <v>1.76366649842215</v>
      </c>
      <c r="J3" s="1">
        <v>1000</v>
      </c>
      <c r="K3" s="1">
        <f>(H3*(F3-B3))/(H3*(F3-B3)-I3*(F3-C3))</f>
        <v>4.2941378881978354E-2</v>
      </c>
      <c r="L3" s="1">
        <f>(H3*I3*((F3-B3)*(G3-E3)-(F3-C3)*(G3-D3)))/(I3*E3*(H3*(F3-B3)-I3*(F3-C3)))</f>
        <v>1.8961261171547689E-2</v>
      </c>
      <c r="M3" s="1">
        <f>1-K3-L3</f>
        <v>0.93809735994647392</v>
      </c>
      <c r="N3" s="1">
        <f>L3/(L3+K3)</f>
        <v>0.30630779487195126</v>
      </c>
      <c r="O3" s="1">
        <f>(K3+L3)*J3*I3</f>
        <v>109.17561242628901</v>
      </c>
      <c r="P3" s="1">
        <f>(H3*M3*B3+I3*(K3+L3)*C3)/(H3*M3+I3*(K3+L3))</f>
        <v>0.79339538051445269</v>
      </c>
      <c r="Q3" s="1">
        <f>(H3*M3*D3+I3*(K3+L3)*E3)/(H3*M3+I3*(K3+L3))</f>
        <v>6.951736106096959E-2</v>
      </c>
      <c r="R3" s="1">
        <f>D3+E3*I3/H3</f>
        <v>0.4033150686463885</v>
      </c>
    </row>
    <row r="4" spans="1:19" x14ac:dyDescent="0.2">
      <c r="A4">
        <v>3</v>
      </c>
      <c r="B4" s="1">
        <v>0.52730409879645301</v>
      </c>
      <c r="C4" s="1">
        <v>3.92247070352636</v>
      </c>
      <c r="D4" s="1">
        <v>5.0390404013412403E-2</v>
      </c>
      <c r="E4" s="1">
        <v>0.23484443469837399</v>
      </c>
      <c r="F4" s="1">
        <v>0.56350409877716601</v>
      </c>
      <c r="G4" s="1">
        <v>6.2178372862539702E-2</v>
      </c>
      <c r="H4" s="1">
        <v>1.4797174282797301</v>
      </c>
      <c r="I4" s="1">
        <v>1.80555301793603</v>
      </c>
      <c r="J4" s="1">
        <v>1000</v>
      </c>
      <c r="K4" s="1">
        <f>(H4*(F4-B4))/(H4*(F4-B4)-I4*(F4-C4))</f>
        <v>8.7549258051186317E-3</v>
      </c>
      <c r="L4" s="1">
        <f>(H4*I4*((F4-B4)*(G4-E4)-(F4-C4)*(G4-D4)))/(I4*E4*(H4*(F4-B4)-I4*(F4-C4)))</f>
        <v>3.4339408901495547E-2</v>
      </c>
      <c r="M4" s="1">
        <f>1-K4-L4</f>
        <v>0.95690566529338583</v>
      </c>
      <c r="N4" s="1">
        <f>L4/(L4+K4)</f>
        <v>0.7968427668109489</v>
      </c>
      <c r="O4" s="1">
        <f>(K4+L4)*J4*I4</f>
        <v>77.809106085472635</v>
      </c>
      <c r="P4" s="1">
        <f>(H4*M4*B4+I4*(K4+L4)*C4)/(H4*M4+I4*(K4+L4))</f>
        <v>0.70415649701133265</v>
      </c>
      <c r="Q4" s="1">
        <f>(H4*M4*D4+I4*(K4+L4)*E4)/(H4*M4+I4*(K4+L4))</f>
        <v>5.9998515038535885E-2</v>
      </c>
      <c r="R4" s="1">
        <f>D4+E4*I4/H4</f>
        <v>0.33694787080495125</v>
      </c>
    </row>
    <row r="5" spans="1:19" x14ac:dyDescent="0.2">
      <c r="A5">
        <v>4</v>
      </c>
      <c r="B5" s="1">
        <v>0.54450106867099102</v>
      </c>
      <c r="C5" s="1">
        <v>3.8788622521251299</v>
      </c>
      <c r="D5" s="1">
        <v>5.0697758493374399E-2</v>
      </c>
      <c r="E5" s="1">
        <v>0.25235308674579798</v>
      </c>
      <c r="F5" s="1">
        <v>0.75030168566290201</v>
      </c>
      <c r="G5" s="1">
        <v>6.7124657057731199E-2</v>
      </c>
      <c r="H5" s="1">
        <v>1.3773272869450299</v>
      </c>
      <c r="I5" s="1">
        <v>1.7158991927288001</v>
      </c>
      <c r="J5" s="1">
        <v>1000</v>
      </c>
      <c r="K5" s="1">
        <f>(H5*(F5-B5))/(H5*(F5-B5)-I5*(F5-C5))</f>
        <v>5.0153463574909879E-2</v>
      </c>
      <c r="L5" s="1">
        <f>(H5*I5*((F5-B5)*(G5-E5)-(F5-C5)*(G5-D5)))/(I5*E5*(H5*(F5-B5)-I5*(F5-C5)))</f>
        <v>1.2817278392492918E-2</v>
      </c>
      <c r="M5" s="1">
        <f>1-K5-L5</f>
        <v>0.93702925803259718</v>
      </c>
      <c r="N5" s="1">
        <f>L5/(L5+K5)</f>
        <v>0.20354339161396356</v>
      </c>
      <c r="O5" s="1">
        <f>(K5+L5)*J5*I5</f>
        <v>108.05144530740003</v>
      </c>
      <c r="P5" s="1">
        <f>(H5*M5*B5+I5*(K5+L5)*C5)/(H5*M5+I5*(K5+L5))</f>
        <v>0.80209461383450287</v>
      </c>
      <c r="Q5" s="1">
        <f>(H5*M5*D5+I5*(K5+L5)*E5)/(H5*M5+I5*(K5+L5))</f>
        <v>6.6276487985373334E-2</v>
      </c>
      <c r="R5" s="1">
        <f>D5+E5*I5/H5</f>
        <v>0.36508378854885637</v>
      </c>
    </row>
    <row r="6" spans="1:19" x14ac:dyDescent="0.2">
      <c r="A6">
        <v>5</v>
      </c>
      <c r="B6" s="1">
        <v>0.49262969520069499</v>
      </c>
      <c r="C6" s="1">
        <v>4.0110857996766898</v>
      </c>
      <c r="D6" s="1">
        <v>5.1080733588183401E-2</v>
      </c>
      <c r="E6" s="1">
        <v>0.233627244997724</v>
      </c>
      <c r="F6" s="1">
        <v>0.53713726974196796</v>
      </c>
      <c r="G6" s="1">
        <v>6.2730445581685404E-2</v>
      </c>
      <c r="H6" s="1">
        <v>1.38675370330346</v>
      </c>
      <c r="I6" s="1">
        <v>1.80111226346537</v>
      </c>
      <c r="J6" s="1">
        <v>1000</v>
      </c>
      <c r="K6" s="1">
        <f>(H6*(F6-B6))/(H6*(F6-B6)-I6*(F6-C6))</f>
        <v>9.7680090218952246E-3</v>
      </c>
      <c r="L6" s="1">
        <f>(H6*I6*((F6-B6)*(G6-E6)-(F6-C6)*(G6-D6)))/(I6*E6*(H6*(F6-B6)-I6*(F6-C6)))</f>
        <v>3.0872584927748439E-2</v>
      </c>
      <c r="M6" s="1">
        <f>1-K6-L6</f>
        <v>0.9593594060503563</v>
      </c>
      <c r="N6" s="1">
        <f>L6/(L6+K6)</f>
        <v>0.75964896000293636</v>
      </c>
      <c r="O6" s="1">
        <f>(K6+L6)*J6*I6</f>
        <v>73.198272157219719</v>
      </c>
      <c r="P6" s="1">
        <f>(H6*M6*B6+I6*(K6+L6)*C6)/(H6*M6+I6*(K6+L6))</f>
        <v>0.67611936720370236</v>
      </c>
      <c r="Q6" s="1">
        <f>(H6*M6*D6+I6*(K6+L6)*E6)/(H6*M6+I6*(K6+L6))</f>
        <v>6.0600647581488247E-2</v>
      </c>
      <c r="R6" s="1">
        <f>D6+E6*I6/H6</f>
        <v>0.3545152187766098</v>
      </c>
    </row>
    <row r="7" spans="1:19" x14ac:dyDescent="0.2">
      <c r="A7">
        <v>6</v>
      </c>
      <c r="B7" s="1">
        <v>0.47813337886429402</v>
      </c>
      <c r="C7" s="1">
        <v>4.5166821395389096</v>
      </c>
      <c r="D7" s="1">
        <v>5.2697259471646003E-2</v>
      </c>
      <c r="E7" s="1">
        <v>0.25811733365246098</v>
      </c>
      <c r="F7" s="1">
        <v>0.52300615725110799</v>
      </c>
      <c r="G7" s="1">
        <v>6.11827323720191E-2</v>
      </c>
      <c r="H7" s="1">
        <v>1.3535452769785701</v>
      </c>
      <c r="I7" s="1">
        <v>1.7541933617085601</v>
      </c>
      <c r="J7" s="1">
        <v>1000</v>
      </c>
      <c r="K7" s="1">
        <f>(H7*(F7-B7))/(H7*(F7-B7)-I7*(F7-C7))</f>
        <v>8.5952096002014661E-3</v>
      </c>
      <c r="L7" s="1">
        <f>(H7*I7*((F7-B7)*(G7-E7)-(F7-C7)*(G7-D7)))/(I7*E7*(H7*(F7-B7)-I7*(F7-C7)))</f>
        <v>1.8590254545031465E-2</v>
      </c>
      <c r="M7" s="1">
        <f>1-K7-L7</f>
        <v>0.97281453585476707</v>
      </c>
      <c r="N7" s="1">
        <f>L7/(L7+K7)</f>
        <v>0.68383068413754977</v>
      </c>
      <c r="O7" s="1">
        <f>(K7+L7)*J7*I7</f>
        <v>47.688560738533674</v>
      </c>
      <c r="P7" s="1">
        <f>(H7*M7*B7+I7*(K7+L7)*C7)/(H7*M7+I7*(K7+L7))</f>
        <v>0.6192850527185042</v>
      </c>
      <c r="Q7" s="1">
        <f>(H7*M7*D7+I7*(K7+L7)*E7)/(H7*M7+I7*(K7+L7))</f>
        <v>5.9876914598314464E-2</v>
      </c>
      <c r="R7" s="1">
        <f>D7+E7*I7/H7</f>
        <v>0.38721707268822986</v>
      </c>
    </row>
    <row r="8" spans="1:19" x14ac:dyDescent="0.2">
      <c r="A8">
        <v>7</v>
      </c>
      <c r="B8" s="1">
        <v>0.48710610366756002</v>
      </c>
      <c r="C8" s="1">
        <v>4.1230972445694896</v>
      </c>
      <c r="D8" s="1">
        <v>5.1780298003061602E-2</v>
      </c>
      <c r="E8" s="1">
        <v>0.240792773317617</v>
      </c>
      <c r="F8" s="1">
        <v>0.54855895267588595</v>
      </c>
      <c r="G8" s="1">
        <v>6.3949076390641804E-2</v>
      </c>
      <c r="H8" s="1">
        <v>1.43901003589132</v>
      </c>
      <c r="I8" s="1">
        <v>1.75969959036709</v>
      </c>
      <c r="J8" s="1">
        <v>1000</v>
      </c>
      <c r="K8" s="1">
        <f>(H8*(F8-B8))/(H8*(F8-B8)-I8*(F8-C8))</f>
        <v>1.3863862174242781E-2</v>
      </c>
      <c r="L8" s="1">
        <f>(H8*I8*((F8-B8)*(G8-E8)-(F8-C8)*(G8-D8)))/(I8*E8*(H8*(F8-B8)-I8*(F8-C8)))</f>
        <v>3.0571637476053206E-2</v>
      </c>
      <c r="M8" s="1">
        <f>1-K8-L8</f>
        <v>0.95556450034970408</v>
      </c>
      <c r="N8" s="1">
        <f>L8/(L8+K8)</f>
        <v>0.68800030868674089</v>
      </c>
      <c r="O8" s="1">
        <f>(K8+L8)*J8*I8</f>
        <v>78.193130532382824</v>
      </c>
      <c r="P8" s="1">
        <f>(H8*M8*B8+I8*(K8+L8)*C8)/(H8*M8+I8*(K8+L8))</f>
        <v>0.68274179360529519</v>
      </c>
      <c r="Q8" s="1">
        <f>(H8*M8*D8+I8*(K8+L8)*E8)/(H8*M8+I8*(K8+L8))</f>
        <v>6.1950175921364141E-2</v>
      </c>
      <c r="R8" s="1">
        <f>D8+E8*I8/H8</f>
        <v>0.34623477295598509</v>
      </c>
    </row>
    <row r="9" spans="1:19" x14ac:dyDescent="0.2">
      <c r="A9">
        <v>8</v>
      </c>
      <c r="B9" s="1">
        <v>0.48187031873250402</v>
      </c>
      <c r="C9" s="1">
        <v>3.7994400531872299</v>
      </c>
      <c r="D9" s="1">
        <v>4.8949623549682901E-2</v>
      </c>
      <c r="E9" s="1">
        <v>0.23866806333570301</v>
      </c>
      <c r="F9" s="1">
        <v>0.50226624022715605</v>
      </c>
      <c r="G9" s="1">
        <v>6.1370573191626802E-2</v>
      </c>
      <c r="H9" s="1">
        <v>1.44382225999346</v>
      </c>
      <c r="I9" s="1">
        <v>1.7633845750139501</v>
      </c>
      <c r="J9" s="1">
        <v>1000</v>
      </c>
      <c r="K9" s="1">
        <f>(H9*(F9-B9))/(H9*(F9-B9)-I9*(F9-C9))</f>
        <v>5.039345010948602E-3</v>
      </c>
      <c r="L9" s="1">
        <f>(H9*I9*((F9-B9)*(G9-E9)-(F9-C9)*(G9-D9)))/(I9*E9*(H9*(F9-B9)-I9*(F9-C9)))</f>
        <v>3.8653262526972126E-2</v>
      </c>
      <c r="M9" s="1">
        <f>1-K9-L9</f>
        <v>0.9563073924620793</v>
      </c>
      <c r="N9" s="1">
        <f>L9/(L9+K9)</f>
        <v>0.88466366978498667</v>
      </c>
      <c r="O9" s="1">
        <f>(K9+L9)*J9*I9</f>
        <v>77.04687017450766</v>
      </c>
      <c r="P9" s="1">
        <f>(H9*M9*B9+I9*(K9+L9)*C9)/(H9*M9+I9*(K9+L9))</f>
        <v>0.65721058139954469</v>
      </c>
      <c r="Q9" s="1">
        <f>(H9*M9*D9+I9*(K9+L9)*E9)/(H9*M9+I9*(K9+L9))</f>
        <v>5.8976626364238463E-2</v>
      </c>
      <c r="R9" s="1">
        <f>D9+E9*I9/H9</f>
        <v>0.34044227683273831</v>
      </c>
    </row>
    <row r="10" spans="1:19" x14ac:dyDescent="0.2">
      <c r="A10">
        <v>9</v>
      </c>
      <c r="B10" s="1">
        <v>0.50092466747574205</v>
      </c>
      <c r="C10" s="1">
        <v>4.0359712561079997</v>
      </c>
      <c r="D10" s="1">
        <v>5.2858006151306598E-2</v>
      </c>
      <c r="E10" s="1">
        <v>0.24014344879670799</v>
      </c>
      <c r="F10" s="1">
        <v>0.53698000201130502</v>
      </c>
      <c r="G10" s="1">
        <v>6.1526083700679697E-2</v>
      </c>
      <c r="H10" s="1">
        <v>1.3745484884947601</v>
      </c>
      <c r="I10" s="1">
        <v>1.8026290929342601</v>
      </c>
      <c r="J10" s="1">
        <v>1000</v>
      </c>
      <c r="K10" s="1">
        <f>(H10*(F10-B10))/(H10*(F10-B10)-I10*(F10-C10))</f>
        <v>7.7961692824684049E-3</v>
      </c>
      <c r="L10" s="1">
        <f>(H10*I10*((F10-B10)*(G10-E10)-(F10-C10)*(G10-D10)))/(I10*E10*(H10*(F10-B10)-I10*(F10-C10)))</f>
        <v>2.1510305060760813E-2</v>
      </c>
      <c r="M10" s="1">
        <f>1-K10-L10</f>
        <v>0.97069352565677081</v>
      </c>
      <c r="N10" s="1">
        <f>L10/(L10+K10)</f>
        <v>0.73397791931018874</v>
      </c>
      <c r="O10" s="1">
        <f>(K10+L10)*J10*I10</f>
        <v>52.828703262436456</v>
      </c>
      <c r="P10" s="1">
        <f>(H10*M10*B10+I10*(K10+L10)*C10)/(H10*M10+I10*(K10+L10))</f>
        <v>0.63556004497864726</v>
      </c>
      <c r="Q10" s="1">
        <f>(H10*M10*D10+I10*(K10+L10)*E10)/(H10*M10+I10*(K10+L10))</f>
        <v>5.9990937963986989E-2</v>
      </c>
      <c r="R10" s="1">
        <f>D10+E10*I10/H10</f>
        <v>0.36779019726852441</v>
      </c>
    </row>
    <row r="11" spans="1:19" x14ac:dyDescent="0.2">
      <c r="A11">
        <v>10</v>
      </c>
      <c r="B11" s="1">
        <v>0.482710794744099</v>
      </c>
      <c r="C11" s="1">
        <v>4.1861839630687596</v>
      </c>
      <c r="D11" s="1">
        <v>4.7781427736663599E-2</v>
      </c>
      <c r="E11" s="1">
        <v>0.261462004061224</v>
      </c>
      <c r="F11" s="1">
        <v>0.59844067583265703</v>
      </c>
      <c r="G11" s="1">
        <v>5.7003357441402301E-2</v>
      </c>
      <c r="H11" s="1">
        <v>1.4000417868231601</v>
      </c>
      <c r="I11" s="1">
        <v>1.8293307627692199</v>
      </c>
      <c r="J11" s="1">
        <v>1000</v>
      </c>
      <c r="K11" s="1">
        <f>(H11*(F11-B11))/(H11*(F11-B11)-I11*(F11-C11))</f>
        <v>2.4092483477507948E-2</v>
      </c>
      <c r="L11" s="1">
        <f>(H11*I11*((F11-B11)*(G11-E11)-(F11-C11)*(G11-D11)))/(I11*E11*(H11*(F11-B11)-I11*(F11-C11)))</f>
        <v>7.5034338871169575E-3</v>
      </c>
      <c r="M11" s="1">
        <f>1-K11-L11</f>
        <v>0.96840408263537514</v>
      </c>
      <c r="N11" s="1">
        <f>L11/(L11+K11)</f>
        <v>0.23748112139063493</v>
      </c>
      <c r="O11" s="1">
        <f>(K11+L11)*J11*I11</f>
        <v>57.79938361302252</v>
      </c>
      <c r="P11" s="1">
        <f>(H11*M11*B11+I11*(K11+L11)*C11)/(H11*M11+I11*(K11+L11))</f>
        <v>0.63413808926698101</v>
      </c>
      <c r="Q11" s="1">
        <f>(H11*M11*D11+I11*(K11+L11)*E11)/(H11*M11+I11*(K11+L11))</f>
        <v>5.6518380886929231E-2</v>
      </c>
      <c r="R11" s="1">
        <f>D11+E11*I11/H11</f>
        <v>0.38941443599836784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Suhrhoff, Tim Jesper</dc:creator>
  <cp:lastModifiedBy>Suhrhoff, Tim Jesper</cp:lastModifiedBy>
  <dcterms:created xsi:type="dcterms:W3CDTF">2025-05-07T12:29:31Z</dcterms:created>
  <dcterms:modified xsi:type="dcterms:W3CDTF">2025-10-31T15:49:15Z</dcterms:modified>
</cp:coreProperties>
</file>